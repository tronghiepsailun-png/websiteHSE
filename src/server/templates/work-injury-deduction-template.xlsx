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315" windowHeight="11985" activeTab="1"/>
  </bookViews>
  <sheets>
    <sheet name="2026年8月" sheetId="1" r:id="rId1"/>
    <sheet name="2026年7月" sheetId="2" r:id="rId2"/>
  </sheets>
  <definedNames>
    <definedName name="_xlnm._FilterDatabase" localSheetId="0" hidden="1">'2026年8月'!$A$3:$M$12</definedName>
    <definedName name="_xlnm._FilterDatabase" localSheetId="1" hidden="1">'2026年7月'!$A$3:$M$9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<sst xmlns="http://schemas.openxmlformats.org/spreadsheetml/2006/main" count="156" uniqueCount="78">
  <si>
    <r>
      <t>2026</t>
    </r>
    <r>
      <rPr>
        <b/>
        <sz val="18"/>
        <color theme="1"/>
        <rFont val="等线 Light"/>
        <charset val="134"/>
      </rPr>
      <t>年</t>
    </r>
    <r>
      <rPr>
        <b/>
        <sz val="18"/>
        <color theme="1"/>
        <rFont val="Times New Roman"/>
        <charset val="134"/>
      </rPr>
      <t>8</t>
    </r>
    <r>
      <rPr>
        <b/>
        <sz val="18"/>
        <color theme="1"/>
        <rFont val="等线 Light"/>
        <charset val="134"/>
      </rPr>
      <t>月份工伤连带责任人扣款名单</t>
    </r>
  </si>
  <si>
    <t>序号</t>
  </si>
  <si>
    <t>工号</t>
  </si>
  <si>
    <t>中文名</t>
  </si>
  <si>
    <t>越文名</t>
  </si>
  <si>
    <t>归属部门</t>
  </si>
  <si>
    <t>岗位情况</t>
  </si>
  <si>
    <t>事故发生日期</t>
  </si>
  <si>
    <t>调查报告发起人</t>
  </si>
  <si>
    <t>罚款金额
（越南盾）</t>
  </si>
  <si>
    <t>一级部门</t>
  </si>
  <si>
    <t>区域</t>
  </si>
  <si>
    <t>二级部门</t>
  </si>
  <si>
    <t>班组</t>
  </si>
  <si>
    <t>班次</t>
  </si>
  <si>
    <t>职位</t>
  </si>
  <si>
    <t>吴文晓</t>
  </si>
  <si>
    <t>NGÔ VĂN NHIỀU</t>
  </si>
  <si>
    <t>设备部</t>
  </si>
  <si>
    <t>一期</t>
  </si>
  <si>
    <t>保全科</t>
  </si>
  <si>
    <t>草丝组</t>
  </si>
  <si>
    <t>常白班</t>
  </si>
  <si>
    <t>草丝保全技师</t>
  </si>
  <si>
    <t>黎长江</t>
  </si>
  <si>
    <t>阮明晋</t>
  </si>
  <si>
    <t>NGUYỄN MINH TẤN</t>
  </si>
  <si>
    <t>B</t>
  </si>
  <si>
    <t>保全组长</t>
  </si>
  <si>
    <t>阮光明</t>
  </si>
  <si>
    <t>NGUYỄN QUANG MINH</t>
  </si>
  <si>
    <t>工程师</t>
  </si>
  <si>
    <t>陈国庆</t>
  </si>
  <si>
    <t>TRẦN QUỐC KHÁNH</t>
  </si>
  <si>
    <t>草坪组</t>
  </si>
  <si>
    <t>倒班领班</t>
  </si>
  <si>
    <t>胡文明</t>
  </si>
  <si>
    <t>范文玲</t>
  </si>
  <si>
    <t>PHẠM VĂN LINH</t>
  </si>
  <si>
    <t>倒班保全工</t>
  </si>
  <si>
    <t>阮国盛</t>
  </si>
  <si>
    <t>NGUYỄN QUỐC CƯỜNG</t>
  </si>
  <si>
    <t>HỒ VĂN MINH</t>
  </si>
  <si>
    <t>主管</t>
  </si>
  <si>
    <t>武功秀</t>
  </si>
  <si>
    <t>VÕ CÔNG TÚ</t>
  </si>
  <si>
    <t>生产一部</t>
  </si>
  <si>
    <t>草丝车间</t>
  </si>
  <si>
    <t>直丝班</t>
  </si>
  <si>
    <t>C</t>
  </si>
  <si>
    <t>加捻机台长</t>
  </si>
  <si>
    <t>林佳轮</t>
  </si>
  <si>
    <t>合计</t>
  </si>
  <si>
    <r>
      <rPr>
        <b/>
        <sz val="18"/>
        <color theme="1"/>
        <rFont val="Times New Roman"/>
        <charset val="134"/>
      </rPr>
      <t xml:space="preserve">
2026</t>
    </r>
    <r>
      <rPr>
        <b/>
        <sz val="18"/>
        <color theme="1"/>
        <rFont val="等线 Light"/>
        <charset val="134"/>
      </rPr>
      <t>年</t>
    </r>
    <r>
      <rPr>
        <b/>
        <sz val="18"/>
        <color theme="1"/>
        <rFont val="Times New Roman"/>
        <charset val="134"/>
      </rPr>
      <t>7</t>
    </r>
    <r>
      <rPr>
        <b/>
        <sz val="18"/>
        <color theme="1"/>
        <rFont val="等线 Light"/>
        <charset val="134"/>
      </rPr>
      <t>月份工伤连带责任人扣款名单</t>
    </r>
  </si>
  <si>
    <t>黎文友</t>
  </si>
  <si>
    <t>LÊ VĂN BẠN</t>
  </si>
  <si>
    <t>二期</t>
  </si>
  <si>
    <t>曲丝班</t>
  </si>
  <si>
    <t>A</t>
  </si>
  <si>
    <t>曲丝工</t>
  </si>
  <si>
    <t>11/7/2026</t>
  </si>
  <si>
    <t>制兰芳</t>
  </si>
  <si>
    <t>黎成达</t>
  </si>
  <si>
    <t>LÊ THÀNH ĐẠT</t>
  </si>
  <si>
    <t>生产二部</t>
  </si>
  <si>
    <t>原料车间</t>
  </si>
  <si>
    <t>造粒班</t>
  </si>
  <si>
    <t>废丝造粒工</t>
  </si>
  <si>
    <t>25/7/2026</t>
  </si>
  <si>
    <t>胡明张</t>
  </si>
  <si>
    <t>陈友忠</t>
  </si>
  <si>
    <t>TRẦN HỮU TRUNG</t>
  </si>
  <si>
    <t>副领班</t>
  </si>
  <si>
    <t>阮文宝</t>
  </si>
  <si>
    <t>NGUYỄN VĂN BỬU</t>
  </si>
  <si>
    <t>色母班</t>
  </si>
  <si>
    <t>色母工</t>
  </si>
  <si>
    <t>05/7/2026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</si>
</sst>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[$-F800]dddd\,\ mmmm\ dd\,\ yyyy"/>
    <numFmt numFmtId="181" formatCode="[$-F400]h:mm:ss\ AM/PM"/>
    <numFmt numFmtId="182" formatCode="[$-F800]dddd\.\ mmmm\ dd\.\ yyyy"/>
    <numFmt numFmtId="183" formatCode="_ * #,##0_ ;_ * \-#,##0_ ;_ * &quot;-&quot;??_ ;_ @_ "/>
    <numFmt numFmtId="184" formatCode="[$-1010412]yyyy\-mm\-dd"/>
  </numFmts>
  <fonts count="33">
    <font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sz val="1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SimSun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2"/>
      <color theme="1"/>
      <name val="SimSun"/>
      <charset val="134"/>
    </font>
    <font>
      <sz val="12"/>
      <color theme="1"/>
      <name val="Arial"/>
      <charset val="134"/>
    </font>
    <font>
      <u/>
      <sz val="12"/>
      <color rgb="FF0000FF"/>
      <name val="SimSun"/>
      <charset val="134"/>
    </font>
    <font>
      <b/>
      <sz val="12"/>
      <color theme="1"/>
      <name val="Times New Roman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1"/>
      <name val="等线 Light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180" fontId="0" fillId="0" borderId="0">
      <alignment vertical="center"/>
    </xf>
    <xf numFmtId="180" fontId="0" fillId="0" borderId="0">
      <alignment vertical="center"/>
    </xf>
    <xf numFmtId="181" fontId="0" fillId="0" borderId="0">
      <alignment vertical="center"/>
    </xf>
    <xf numFmtId="180" fontId="0" fillId="0" borderId="0">
      <alignment vertical="center"/>
    </xf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82" fontId="8" fillId="3" borderId="6" xfId="0" applyNumberFormat="1" applyFont="1" applyFill="1" applyBorder="1" applyAlignment="1">
      <alignment horizontal="center" vertical="center"/>
    </xf>
    <xf numFmtId="182" fontId="9" fillId="3" borderId="6" xfId="0" applyNumberFormat="1" applyFont="1" applyFill="1" applyBorder="1" applyAlignment="1">
      <alignment horizontal="center" vertical="center"/>
    </xf>
    <xf numFmtId="182" fontId="8" fillId="0" borderId="6" xfId="0" applyNumberFormat="1" applyFont="1" applyBorder="1" applyAlignment="1">
      <alignment horizontal="center" vertical="center"/>
    </xf>
    <xf numFmtId="182" fontId="10" fillId="0" borderId="6" xfId="0" applyNumberFormat="1" applyFont="1" applyBorder="1" applyAlignment="1">
      <alignment horizontal="center" vertical="center"/>
    </xf>
    <xf numFmtId="183" fontId="11" fillId="0" borderId="6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83" fontId="12" fillId="4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8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82" fontId="8" fillId="0" borderId="6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2" xfId="49"/>
    <cellStyle name="常规 12 115" xfId="50"/>
    <cellStyle name="常规 12 64 3" xfId="51"/>
    <cellStyle name="常规 12 64 21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2.12:8801/seeyon/collaboration/collaboration.do?method=summary&amp;openFrom=listPending&amp;affairId=-345905465804175088&amp;showTab=true" TargetMode="External"/><Relationship Id="rId1" Type="http://schemas.openxmlformats.org/officeDocument/2006/relationships/hyperlink" Target="http://192.168.2.12:8801/seeyon/collaboration/collaboration.do?method=summary&amp;openFrom=listPending&amp;affairId=8443840112793700120&amp;showTab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workbookViewId="0">
      <selection activeCell="A1" sqref="A1:M1"/>
    </sheetView>
  </sheetViews>
  <sheetFormatPr defaultColWidth="14.4285714285714" defaultRowHeight="15" customHeight="1"/>
  <cols>
    <col min="1" max="1" width="7.28571428571429" customWidth="1"/>
    <col min="2" max="2" width="10.4285714285714" customWidth="1"/>
    <col min="3" max="3" width="13.2857142857143" customWidth="1"/>
    <col min="4" max="4" width="35.2857142857143" customWidth="1"/>
    <col min="5" max="5" width="12.8571428571429" customWidth="1"/>
    <col min="6" max="6" width="9" customWidth="1"/>
    <col min="7" max="7" width="17.4285714285714" customWidth="1"/>
    <col min="8" max="8" width="11.8571428571429" customWidth="1"/>
    <col min="9" max="9" width="9" customWidth="1"/>
    <col min="10" max="10" width="18.4285714285714" customWidth="1"/>
    <col min="11" max="11" width="19" customWidth="1"/>
    <col min="12" max="12" width="14.7142857142857" customWidth="1"/>
    <col min="13" max="13" width="19.2857142857143" customWidth="1"/>
    <col min="14" max="26" width="9" customWidth="1"/>
  </cols>
  <sheetData>
    <row r="1" ht="45" customHeight="1" spans="1:26">
      <c r="A1" s="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 spans="1:2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2"/>
      <c r="G2" s="3"/>
      <c r="H2" s="6" t="s">
        <v>6</v>
      </c>
      <c r="I2" s="2"/>
      <c r="J2" s="3"/>
      <c r="K2" s="5" t="s">
        <v>7</v>
      </c>
      <c r="L2" s="5" t="s">
        <v>8</v>
      </c>
      <c r="M2" s="5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 spans="1:26">
      <c r="A3" s="8"/>
      <c r="B3" s="8"/>
      <c r="C3" s="8"/>
      <c r="D3" s="8"/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15</v>
      </c>
      <c r="K3" s="8"/>
      <c r="L3" s="8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 spans="1:26">
      <c r="A4" s="10">
        <v>1</v>
      </c>
      <c r="B4" s="11">
        <v>50731</v>
      </c>
      <c r="C4" s="12" t="s">
        <v>16</v>
      </c>
      <c r="D4" s="13" t="s">
        <v>17</v>
      </c>
      <c r="E4" s="14" t="s">
        <v>18</v>
      </c>
      <c r="F4" s="14" t="s">
        <v>19</v>
      </c>
      <c r="G4" s="14" t="s">
        <v>20</v>
      </c>
      <c r="H4" s="14" t="s">
        <v>21</v>
      </c>
      <c r="I4" s="14" t="s">
        <v>22</v>
      </c>
      <c r="J4" s="14" t="s">
        <v>23</v>
      </c>
      <c r="K4" s="23">
        <v>46249</v>
      </c>
      <c r="L4" s="24" t="s">
        <v>24</v>
      </c>
      <c r="M4" s="16">
        <v>100000</v>
      </c>
      <c r="N4" s="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 spans="1:26">
      <c r="A5" s="10">
        <v>2</v>
      </c>
      <c r="B5" s="11">
        <v>52926</v>
      </c>
      <c r="C5" s="12" t="s">
        <v>25</v>
      </c>
      <c r="D5" s="13" t="s">
        <v>26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27</v>
      </c>
      <c r="J5" s="14" t="s">
        <v>28</v>
      </c>
      <c r="K5" s="23">
        <v>46249</v>
      </c>
      <c r="L5" s="24" t="s">
        <v>24</v>
      </c>
      <c r="M5" s="16">
        <v>100000</v>
      </c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 spans="1:26">
      <c r="A6" s="10">
        <v>3</v>
      </c>
      <c r="B6" s="11">
        <v>34626</v>
      </c>
      <c r="C6" s="12" t="s">
        <v>29</v>
      </c>
      <c r="D6" s="13" t="s">
        <v>30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31</v>
      </c>
      <c r="K6" s="23">
        <v>46249</v>
      </c>
      <c r="L6" s="24" t="s">
        <v>24</v>
      </c>
      <c r="M6" s="16">
        <v>100000</v>
      </c>
      <c r="N6" s="7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 spans="1:26">
      <c r="A7" s="10">
        <v>4</v>
      </c>
      <c r="B7" s="11">
        <v>32023</v>
      </c>
      <c r="C7" s="12" t="s">
        <v>32</v>
      </c>
      <c r="D7" s="13" t="s">
        <v>33</v>
      </c>
      <c r="E7" s="14" t="s">
        <v>18</v>
      </c>
      <c r="F7" s="14" t="s">
        <v>19</v>
      </c>
      <c r="G7" s="14" t="s">
        <v>20</v>
      </c>
      <c r="H7" s="14" t="s">
        <v>34</v>
      </c>
      <c r="I7" s="14" t="s">
        <v>27</v>
      </c>
      <c r="J7" s="14" t="s">
        <v>35</v>
      </c>
      <c r="K7" s="23">
        <v>46255</v>
      </c>
      <c r="L7" s="14" t="s">
        <v>36</v>
      </c>
      <c r="M7" s="16">
        <v>500000</v>
      </c>
      <c r="N7" s="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 spans="1:26">
      <c r="A8" s="10">
        <v>5</v>
      </c>
      <c r="B8" s="11">
        <v>51869</v>
      </c>
      <c r="C8" s="12" t="s">
        <v>37</v>
      </c>
      <c r="D8" s="13" t="s">
        <v>38</v>
      </c>
      <c r="E8" s="14" t="s">
        <v>18</v>
      </c>
      <c r="F8" s="14" t="s">
        <v>19</v>
      </c>
      <c r="G8" s="14" t="s">
        <v>20</v>
      </c>
      <c r="H8" s="14" t="s">
        <v>34</v>
      </c>
      <c r="I8" s="14" t="s">
        <v>27</v>
      </c>
      <c r="J8" s="14" t="s">
        <v>39</v>
      </c>
      <c r="K8" s="23">
        <v>46255</v>
      </c>
      <c r="L8" s="14" t="s">
        <v>36</v>
      </c>
      <c r="M8" s="16">
        <v>500000</v>
      </c>
      <c r="N8" s="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 spans="1:26">
      <c r="A9" s="10">
        <v>6</v>
      </c>
      <c r="B9" s="11">
        <v>43206</v>
      </c>
      <c r="C9" s="12" t="s">
        <v>40</v>
      </c>
      <c r="D9" s="13" t="s">
        <v>41</v>
      </c>
      <c r="E9" s="14" t="s">
        <v>18</v>
      </c>
      <c r="F9" s="14" t="s">
        <v>19</v>
      </c>
      <c r="G9" s="14" t="s">
        <v>20</v>
      </c>
      <c r="H9" s="14" t="s">
        <v>34</v>
      </c>
      <c r="I9" s="14" t="s">
        <v>27</v>
      </c>
      <c r="J9" s="14" t="s">
        <v>39</v>
      </c>
      <c r="K9" s="23">
        <v>46255</v>
      </c>
      <c r="L9" s="14" t="s">
        <v>36</v>
      </c>
      <c r="M9" s="16">
        <v>200000</v>
      </c>
      <c r="N9" s="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 spans="1:26">
      <c r="A10" s="10">
        <v>7</v>
      </c>
      <c r="B10" s="11">
        <v>30110</v>
      </c>
      <c r="C10" s="12" t="s">
        <v>36</v>
      </c>
      <c r="D10" s="13" t="s">
        <v>42</v>
      </c>
      <c r="E10" s="14" t="s">
        <v>18</v>
      </c>
      <c r="F10" s="14" t="s">
        <v>19</v>
      </c>
      <c r="G10" s="14" t="s">
        <v>20</v>
      </c>
      <c r="H10" s="14" t="s">
        <v>34</v>
      </c>
      <c r="I10" s="14" t="s">
        <v>22</v>
      </c>
      <c r="J10" s="14" t="s">
        <v>43</v>
      </c>
      <c r="K10" s="23">
        <v>46255</v>
      </c>
      <c r="L10" s="14" t="s">
        <v>36</v>
      </c>
      <c r="M10" s="16">
        <v>300000</v>
      </c>
      <c r="N10" s="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 spans="1:26">
      <c r="A11" s="10">
        <v>8</v>
      </c>
      <c r="B11" s="11">
        <v>36286</v>
      </c>
      <c r="C11" s="12" t="s">
        <v>44</v>
      </c>
      <c r="D11" s="13" t="s">
        <v>45</v>
      </c>
      <c r="E11" s="14" t="s">
        <v>46</v>
      </c>
      <c r="F11" s="14" t="s">
        <v>19</v>
      </c>
      <c r="G11" s="14" t="s">
        <v>47</v>
      </c>
      <c r="H11" s="14" t="s">
        <v>48</v>
      </c>
      <c r="I11" s="14" t="s">
        <v>49</v>
      </c>
      <c r="J11" s="14" t="s">
        <v>50</v>
      </c>
      <c r="K11" s="23">
        <v>46259</v>
      </c>
      <c r="L11" s="14" t="s">
        <v>51</v>
      </c>
      <c r="M11" s="16">
        <v>50000</v>
      </c>
      <c r="N11" s="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2.75" customHeight="1" spans="1:26">
      <c r="A12" s="17" t="s">
        <v>52</v>
      </c>
      <c r="B12" s="2"/>
      <c r="C12" s="2"/>
      <c r="D12" s="2"/>
      <c r="E12" s="2"/>
      <c r="F12" s="2"/>
      <c r="G12" s="2"/>
      <c r="H12" s="2"/>
      <c r="I12" s="2"/>
      <c r="J12" s="3"/>
      <c r="K12" s="18"/>
      <c r="L12" s="18"/>
      <c r="M12" s="19">
        <f>SUM(M4:M11)</f>
        <v>1850000</v>
      </c>
      <c r="N12" s="7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2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2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2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2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2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2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2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2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2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2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2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2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2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2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2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2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2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2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2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2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2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2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2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2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2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2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2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2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2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2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2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2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2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2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2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2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2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2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2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2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2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2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2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2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2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2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2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2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2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2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2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2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2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2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2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2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2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20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20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20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2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20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2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2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20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2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2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2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20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20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20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20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20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20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20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20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20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2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2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20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2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2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20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2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20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2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2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2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2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2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2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20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20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20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20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20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20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2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20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20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20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20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20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20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20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20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20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20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20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20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20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20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20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20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20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20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20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20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20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20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20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20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20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20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20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20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20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20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2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20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20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20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20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20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20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20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20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20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20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20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20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20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20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20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20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20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20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20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20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20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20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20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20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20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20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20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20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20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20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20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20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20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20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20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20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20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20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20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20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20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20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20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20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20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20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20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20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20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20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20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20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20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20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20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20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20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20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20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20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20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20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20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20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20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20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20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20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20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20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20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20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20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20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20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20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20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20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20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20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20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20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20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20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20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20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20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20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20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20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20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20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20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20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20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20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20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20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20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20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20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20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20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20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20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20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20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20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20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20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20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20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20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20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20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20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20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20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20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20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20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20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20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20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20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20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20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20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20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20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20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20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20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20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20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20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20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20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20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20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20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20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20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20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20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20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20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20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20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20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20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20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20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20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20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20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20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20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20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20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20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20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20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20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20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20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20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20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20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20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20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20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20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20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20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20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20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20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20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20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20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20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20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20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20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20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20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20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20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20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20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20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20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20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20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20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20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20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20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20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20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20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20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20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20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20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20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20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20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20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20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20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20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20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20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20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20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20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20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20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20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20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20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20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20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20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20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20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20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20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20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20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20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20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20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20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2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2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20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20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20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20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20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20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20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20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20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20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20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20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20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20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20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20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20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20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20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20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20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20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20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20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20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20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20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2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20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20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20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20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20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2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20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2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20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20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20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20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20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20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20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20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20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20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20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20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20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20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20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20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20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20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20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20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2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20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20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20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20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20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20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20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2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20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20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20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20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20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20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20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20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20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20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20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20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20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20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20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20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20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20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20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20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20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20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20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20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20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20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20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20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20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20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20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20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20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20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20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20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20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20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20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20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20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20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20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20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20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20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20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20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20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20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20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20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20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20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20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20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20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20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20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20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20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20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20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20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20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20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20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20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20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20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20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20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20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20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20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20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20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20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20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20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20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20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20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20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20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20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20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20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20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20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20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20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20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20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20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20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20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20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20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20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20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20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20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20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20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20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20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20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20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20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20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20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20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20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20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20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20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20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20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20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20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20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20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20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20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20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20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20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20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20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20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20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20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20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20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20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20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20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20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20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20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20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20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20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20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20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20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20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20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20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20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20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20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20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20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20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20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20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20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20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20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20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20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20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20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20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20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20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20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20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20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20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20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20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20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20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20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20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20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20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20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20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20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20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20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20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20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20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20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20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20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20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20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20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20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20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20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20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20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20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20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20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20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20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20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20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20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20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20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20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20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20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20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20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20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20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20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20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20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20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20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20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20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20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20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20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20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20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20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20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20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20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20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20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20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20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20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20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20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20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20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20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20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20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20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20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20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20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20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20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20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20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20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20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20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20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20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20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20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20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20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20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20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20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20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20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20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20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20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20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20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20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20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20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20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20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20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20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20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20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20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20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20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20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20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20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20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20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20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20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20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20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20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20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20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20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20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20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20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20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20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20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20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20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20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20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20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20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20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20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20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20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20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20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20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20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20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20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20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20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20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20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20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20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20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20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20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20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20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20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20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20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20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20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20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20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20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20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20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20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20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20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20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20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20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20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20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20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20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20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20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20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20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20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20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20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20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20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20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20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20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20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20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20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20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20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20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20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20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20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20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20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20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20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20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20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20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20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20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20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20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20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20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20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20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20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20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20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20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20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20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20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20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20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20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20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20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20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20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20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20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20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20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20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20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20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20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20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20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20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20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20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20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20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20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20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20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20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20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20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20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20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20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20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20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20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20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20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20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20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20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20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20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20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20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20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20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20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20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20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20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20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20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20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20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20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20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20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20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20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20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20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20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20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20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20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20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20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20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20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20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20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20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20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20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20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20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20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20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20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20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20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20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20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20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20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20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20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20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20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20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20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20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20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20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20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20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20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20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20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20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20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20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20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20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20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20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20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20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20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20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20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20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20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20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20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20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20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20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20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20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20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20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20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20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20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20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20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20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xmlns:etc="http://www.wps.cn/officeDocument/2017/etCustomData" ref="A3:M12" etc:filterBottomFollowUsedRange="0">
    <extLst/>
  </autoFilter>
  <mergeCells count="11">
    <mergeCell ref="A1:M1"/>
    <mergeCell ref="E2:G2"/>
    <mergeCell ref="H2:J2"/>
    <mergeCell ref="A12:J12"/>
    <mergeCell ref="A2:A3"/>
    <mergeCell ref="B2:B3"/>
    <mergeCell ref="C2:C3"/>
    <mergeCell ref="D2:D3"/>
    <mergeCell ref="K2:K3"/>
    <mergeCell ref="L2:L3"/>
    <mergeCell ref="M2:M3"/>
  </mergeCell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E18" sqref="E18"/>
    </sheetView>
  </sheetViews>
  <sheetFormatPr defaultColWidth="14.4285714285714" defaultRowHeight="15" customHeight="1"/>
  <cols>
    <col min="1" max="1" width="7.28571428571429" customWidth="1"/>
    <col min="2" max="2" width="10.4285714285714" customWidth="1"/>
    <col min="3" max="3" width="13.2857142857143" customWidth="1"/>
    <col min="4" max="4" width="35.2857142857143" customWidth="1"/>
    <col min="5" max="5" width="12.8571428571429" customWidth="1"/>
    <col min="6" max="6" width="9" customWidth="1"/>
    <col min="7" max="7" width="12.5714285714286" customWidth="1"/>
    <col min="8" max="8" width="11.8571428571429" customWidth="1"/>
    <col min="9" max="9" width="9" customWidth="1"/>
    <col min="10" max="10" width="18.4285714285714" customWidth="1"/>
    <col min="11" max="12" width="14.7142857142857" customWidth="1"/>
    <col min="13" max="13" width="19.2857142857143" customWidth="1"/>
    <col min="14" max="26" width="9" customWidth="1"/>
  </cols>
  <sheetData>
    <row r="1" ht="45" customHeight="1" spans="1:26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 spans="1:2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2"/>
      <c r="G2" s="3"/>
      <c r="H2" s="6" t="s">
        <v>6</v>
      </c>
      <c r="I2" s="2"/>
      <c r="J2" s="3"/>
      <c r="K2" s="5" t="s">
        <v>7</v>
      </c>
      <c r="L2" s="5" t="s">
        <v>8</v>
      </c>
      <c r="M2" s="5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 spans="1:26">
      <c r="A3" s="8"/>
      <c r="B3" s="8"/>
      <c r="C3" s="8"/>
      <c r="D3" s="8"/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15</v>
      </c>
      <c r="K3" s="8"/>
      <c r="L3" s="8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 spans="1:26">
      <c r="A4" s="10">
        <v>1</v>
      </c>
      <c r="B4" s="11">
        <v>32472</v>
      </c>
      <c r="C4" s="12" t="s">
        <v>54</v>
      </c>
      <c r="D4" s="13" t="s">
        <v>55</v>
      </c>
      <c r="E4" s="14" t="s">
        <v>46</v>
      </c>
      <c r="F4" s="14" t="s">
        <v>56</v>
      </c>
      <c r="G4" s="14" t="s">
        <v>47</v>
      </c>
      <c r="H4" s="14" t="s">
        <v>57</v>
      </c>
      <c r="I4" s="14" t="s">
        <v>58</v>
      </c>
      <c r="J4" s="14" t="s">
        <v>59</v>
      </c>
      <c r="K4" s="25" t="s">
        <v>60</v>
      </c>
      <c r="L4" s="15" t="s">
        <v>61</v>
      </c>
      <c r="M4" s="16">
        <v>100000</v>
      </c>
      <c r="N4" s="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 spans="1:26">
      <c r="A5" s="10">
        <v>2</v>
      </c>
      <c r="B5" s="11">
        <v>57979</v>
      </c>
      <c r="C5" s="12" t="s">
        <v>62</v>
      </c>
      <c r="D5" s="13" t="s">
        <v>63</v>
      </c>
      <c r="E5" s="14" t="s">
        <v>64</v>
      </c>
      <c r="F5" s="14" t="s">
        <v>19</v>
      </c>
      <c r="G5" s="14" t="s">
        <v>65</v>
      </c>
      <c r="H5" s="14" t="s">
        <v>66</v>
      </c>
      <c r="I5" s="14" t="s">
        <v>27</v>
      </c>
      <c r="J5" s="14" t="s">
        <v>67</v>
      </c>
      <c r="K5" s="25" t="s">
        <v>68</v>
      </c>
      <c r="L5" s="15" t="s">
        <v>69</v>
      </c>
      <c r="M5" s="16">
        <v>200000</v>
      </c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 spans="1:26">
      <c r="A6" s="10">
        <v>3</v>
      </c>
      <c r="B6" s="11">
        <v>31988</v>
      </c>
      <c r="C6" s="12" t="s">
        <v>70</v>
      </c>
      <c r="D6" s="13" t="s">
        <v>71</v>
      </c>
      <c r="E6" s="14" t="s">
        <v>64</v>
      </c>
      <c r="F6" s="14" t="s">
        <v>19</v>
      </c>
      <c r="G6" s="14" t="s">
        <v>65</v>
      </c>
      <c r="H6" s="14" t="s">
        <v>66</v>
      </c>
      <c r="I6" s="14" t="s">
        <v>27</v>
      </c>
      <c r="J6" s="14" t="s">
        <v>72</v>
      </c>
      <c r="K6" s="25" t="s">
        <v>68</v>
      </c>
      <c r="L6" s="15" t="s">
        <v>69</v>
      </c>
      <c r="M6" s="16">
        <v>300000</v>
      </c>
      <c r="N6" s="7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 spans="1:26">
      <c r="A7" s="10">
        <v>4</v>
      </c>
      <c r="B7" s="11">
        <v>44714</v>
      </c>
      <c r="C7" s="12" t="s">
        <v>73</v>
      </c>
      <c r="D7" s="13" t="s">
        <v>74</v>
      </c>
      <c r="E7" s="14" t="s">
        <v>64</v>
      </c>
      <c r="F7" s="14" t="s">
        <v>19</v>
      </c>
      <c r="G7" s="14" t="s">
        <v>65</v>
      </c>
      <c r="H7" s="14" t="s">
        <v>75</v>
      </c>
      <c r="I7" s="14" t="s">
        <v>27</v>
      </c>
      <c r="J7" s="14" t="s">
        <v>76</v>
      </c>
      <c r="K7" s="25" t="s">
        <v>77</v>
      </c>
      <c r="L7" s="15" t="s">
        <v>69</v>
      </c>
      <c r="M7" s="16">
        <v>200000</v>
      </c>
      <c r="N7" s="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 spans="1:26">
      <c r="A8" s="10">
        <v>5</v>
      </c>
      <c r="B8" s="11">
        <v>31988</v>
      </c>
      <c r="C8" s="12" t="s">
        <v>70</v>
      </c>
      <c r="D8" s="13" t="s">
        <v>71</v>
      </c>
      <c r="E8" s="14" t="s">
        <v>64</v>
      </c>
      <c r="F8" s="14" t="s">
        <v>19</v>
      </c>
      <c r="G8" s="14" t="s">
        <v>65</v>
      </c>
      <c r="H8" s="14" t="s">
        <v>66</v>
      </c>
      <c r="I8" s="14" t="s">
        <v>27</v>
      </c>
      <c r="J8" s="14" t="s">
        <v>72</v>
      </c>
      <c r="K8" s="25" t="s">
        <v>77</v>
      </c>
      <c r="L8" s="15" t="s">
        <v>69</v>
      </c>
      <c r="M8" s="16">
        <v>300000</v>
      </c>
      <c r="N8" s="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2.75" customHeight="1" spans="1:26">
      <c r="A9" s="17" t="s">
        <v>52</v>
      </c>
      <c r="B9" s="2"/>
      <c r="C9" s="2"/>
      <c r="D9" s="2"/>
      <c r="E9" s="2"/>
      <c r="F9" s="2"/>
      <c r="G9" s="2"/>
      <c r="H9" s="2"/>
      <c r="I9" s="2"/>
      <c r="J9" s="3"/>
      <c r="K9" s="18"/>
      <c r="L9" s="18"/>
      <c r="M9" s="19">
        <f>SUM(M4:M8)</f>
        <v>1100000</v>
      </c>
      <c r="N9" s="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2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2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2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2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2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2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2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2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2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2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2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2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2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2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2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2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2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2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2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2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2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2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2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2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2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2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2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2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2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2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2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2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2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2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2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2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2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2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2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2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2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2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2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2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2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2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2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2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2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2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2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2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2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2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2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2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2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2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20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20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20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2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20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2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2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20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2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2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2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20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20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20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20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20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20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20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20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20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2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2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20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2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2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20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2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20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2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2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2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2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2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2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20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20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20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20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20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20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2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20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20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20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20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20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20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20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20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20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20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20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20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20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20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20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20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20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20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20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20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20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20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20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20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20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20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20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20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20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20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2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20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20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20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20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20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20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20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20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20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20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20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20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20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20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20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20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20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20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20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20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20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20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20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20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20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20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20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20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20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20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20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20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20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20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20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20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20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20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20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20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20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20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20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20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20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20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20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20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20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20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20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20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20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20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20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20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20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20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20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20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20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20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20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20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20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20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20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20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20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20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20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20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20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20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20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20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20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20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20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20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20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20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20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20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20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20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20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20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20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20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20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20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20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20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20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20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20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20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20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20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20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20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20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20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20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20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20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20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20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20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20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20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20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20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20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20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20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20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20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20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20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20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20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20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20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20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20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20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20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20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20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20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20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20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20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20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20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20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20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20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20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20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20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20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20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20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20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20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20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20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20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20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20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20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20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20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20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20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20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20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20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20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20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20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20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20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20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20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20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20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20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20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20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20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20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20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20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20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20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20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20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20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20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20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20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20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20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20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20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20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20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20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20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20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20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20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20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20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20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20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20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20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20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20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20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20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20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20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20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20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20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20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20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20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20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20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20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20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20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20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20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20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20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20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20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20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20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20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20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20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20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20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20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20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20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20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2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2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20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20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20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20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20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20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20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20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20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20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20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20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20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20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20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20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20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20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20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20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20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20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20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20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20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20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20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2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20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20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20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20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20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2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20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2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20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20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20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20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20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20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20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20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20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20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20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20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20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20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20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20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20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20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20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20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2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20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20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20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20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20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20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20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2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20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20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20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20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20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20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20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20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20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20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20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20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20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20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20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20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20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20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20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20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20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20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20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20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20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20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20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20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20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20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20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20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20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20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20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20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20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20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20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20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20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20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20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20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20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20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20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20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20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20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20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20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20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20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20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20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20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20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20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20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20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20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20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20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20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20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20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20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20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20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20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20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20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20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20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20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20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20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20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20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20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20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20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20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20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20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20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20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20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20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20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20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20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20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20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20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20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20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20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20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20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20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20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20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20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20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20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20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20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20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20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20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20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20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20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20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20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20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20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20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20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20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20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20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20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20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20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20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20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20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20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20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20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20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20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20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20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20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20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20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20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20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20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20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20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20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20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20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20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20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20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20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20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20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20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20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20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20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20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20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20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20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20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20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20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20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20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20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20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20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20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20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20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20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20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20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20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20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20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20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20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20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20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20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20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20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20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20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20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20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20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20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20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20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20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20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20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20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20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20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20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20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20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20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20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20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20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20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20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20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20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20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20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20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20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20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20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20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20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20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20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20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20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20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20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20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20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20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20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20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20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20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20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20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20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20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20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20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20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20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20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20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20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20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20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20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20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20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20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20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20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20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20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20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20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20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20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20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20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20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20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20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20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20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20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20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20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20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20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20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20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20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20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20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20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20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20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20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20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20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20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20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20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20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20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20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20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20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20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20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20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20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20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20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20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20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20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20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20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20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20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20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20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20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20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20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20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20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20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20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20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20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20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20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20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20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20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20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20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20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20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20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20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20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20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20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20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20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20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20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20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20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20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20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20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20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20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20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20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20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20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20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20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20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20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20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20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20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20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20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20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20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20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20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20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20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20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20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20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20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20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20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20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20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20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20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20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20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20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20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20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20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20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20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20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20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20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20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20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20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20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20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20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20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20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20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20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20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20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20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20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20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20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20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20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20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20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20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20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20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20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20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20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20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20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20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20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20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20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20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20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20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20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20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20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20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20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20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20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20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20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20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20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20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20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20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20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20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20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20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20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20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20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20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20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20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20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20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20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20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20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20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20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20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20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20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20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20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20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20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20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20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20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20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20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20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20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20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20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20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20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20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20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20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20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20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20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20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20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20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20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20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20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20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20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20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20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20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20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20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20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20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20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20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20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20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20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20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20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20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20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20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20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20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20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20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20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20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20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20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20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20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20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20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20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20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20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20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20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20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20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20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20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20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20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20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20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20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20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20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xmlns:etc="http://www.wps.cn/officeDocument/2017/etCustomData" ref="A3:M9" etc:filterBottomFollowUsedRange="0">
    <extLst/>
  </autoFilter>
  <mergeCells count="11">
    <mergeCell ref="A1:M1"/>
    <mergeCell ref="E2:G2"/>
    <mergeCell ref="H2:J2"/>
    <mergeCell ref="A9:J9"/>
    <mergeCell ref="A2:A3"/>
    <mergeCell ref="B2:B3"/>
    <mergeCell ref="C2:C3"/>
    <mergeCell ref="D2:D3"/>
    <mergeCell ref="K2:K3"/>
    <mergeCell ref="L2:L3"/>
    <mergeCell ref="M2:M3"/>
  </mergeCells>
  <hyperlinks>
    <hyperlink ref="L4" r:id="rId1" display="制兰芳"/>
    <hyperlink ref="L5" r:id="rId2" display="胡明张"/>
    <hyperlink ref="L6" r:id="rId2" display="胡明张"/>
    <hyperlink ref="L7" r:id="rId2" display="胡明张"/>
    <hyperlink ref="L8" r:id="rId2" display="胡明张"/>
  </hyperlink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2026年8月</vt:lpstr>
      <vt:lpstr>2026年7月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TNPC</cp:lastModifiedBy>
  <dcterms:created xsi:type="dcterms:W3CDTF">2015-06-05T18:17:00Z</dcterms:created>
  <dcterms:modified xsi:type="dcterms:W3CDTF">2026-08-29T14:15:42Z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31457B9170AC4F73AEE4A4EC658F3587_13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